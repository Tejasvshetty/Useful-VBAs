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ersons/person.xml" ContentType="application/vnd.ms-excel.person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35f204533b1141b4" Type="http://schemas.microsoft.com/office/2007/relationships/ui/extensibility" Target="customUI/customUI14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328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a52625c13c20850e/"/>
    </mc:Choice>
  </mc:AlternateContent>
  <xr:revisionPtr revIDLastSave="650" documentId="14_{1D56D8D0-EDF3-4C11-B4FE-18444094C0D4}" xr6:coauthVersionLast="47" xr6:coauthVersionMax="47" xr10:uidLastSave="{BFE5CD6F-94D1-4A13-BA69-F222C00D2BBB}"/>
  <bookViews>
    <workbookView xWindow="-108" yWindow="-108" windowWidth="23256" windowHeight="12456" activeTab="1" xr2:uid="{FD627189-0FE2-45AD-9CFF-24C18198DE21}"/>
  </bookViews>
  <sheets>
    <sheet name="Before Macro" sheetId="1" r:id="rId1"/>
    <sheet name="After Macro" sheetId="2" r:id="rId2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H19" i="2" l="1"/>
  <c r="H16" i="2"/>
  <c r="H15" i="2"/>
  <c r="H12" i="2"/>
  <c r="H8" i="2"/>
  <c r="B19" i="2"/>
  <c r="G17" i="2"/>
  <c r="D17" i="2"/>
  <c r="C17" i="2"/>
  <c r="B17" i="2"/>
  <c r="G13" i="2"/>
  <c r="D13" i="2"/>
  <c r="C13" i="2"/>
  <c r="B13" i="2"/>
  <c r="G10" i="2"/>
  <c r="G19" i="2" s="1"/>
  <c r="D10" i="2"/>
  <c r="D19" i="2" s="1"/>
  <c r="C10" i="2"/>
  <c r="B10" i="2"/>
  <c r="E16" i="2"/>
  <c r="E15" i="2"/>
  <c r="E12" i="2"/>
  <c r="E13" i="2" s="1"/>
  <c r="E9" i="2"/>
  <c r="H9" i="2" s="1"/>
  <c r="E8" i="2"/>
  <c r="E7" i="2"/>
  <c r="H13" i="2" l="1"/>
  <c r="E10" i="2"/>
  <c r="E19" i="2" s="1"/>
  <c r="E17" i="2"/>
  <c r="C19" i="2"/>
  <c r="H17" i="2"/>
  <c r="H7" i="2"/>
  <c r="H10" i="2" s="1"/>
</calcChain>
</file>

<file path=xl/sharedStrings.xml><?xml version="1.0" encoding="utf-8"?>
<sst xmlns="http://schemas.openxmlformats.org/spreadsheetml/2006/main" count="68" uniqueCount="23">
  <si>
    <t>Holdco</t>
  </si>
  <si>
    <t>66</t>
  </si>
  <si>
    <t>Year End: August 31, 2023</t>
  </si>
  <si>
    <t>Trusts</t>
  </si>
  <si>
    <t>Account</t>
  </si>
  <si>
    <t>Prelim</t>
  </si>
  <si>
    <t>Adj's</t>
  </si>
  <si>
    <t>Reclass</t>
  </si>
  <si>
    <t>Rep</t>
  </si>
  <si>
    <t>Annotation</t>
  </si>
  <si>
    <t>Rep 08/22</t>
  </si>
  <si>
    <t>Amount Chg</t>
  </si>
  <si>
    <t>%Chg</t>
  </si>
  <si>
    <t>123456-19900-9999 Trust 1</t>
  </si>
  <si>
    <t>123457-19900-9999Trust 2</t>
  </si>
  <si>
    <t>123458-11000-9999 Mortgage</t>
  </si>
  <si>
    <t>14.99.01   Irrevocable Trusts</t>
  </si>
  <si>
    <t>123459-19900-9999 Trust 3</t>
  </si>
  <si>
    <t>14.99.02   Revocable Trusts</t>
  </si>
  <si>
    <t>123460-19900-9999 Trust 4</t>
  </si>
  <si>
    <t>123461-19900-9999 Trust 5</t>
  </si>
  <si>
    <t>14.99.03   Trust Offset</t>
  </si>
  <si>
    <t>Footed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</si>
</sst>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#,##0.00;\-#,##0.00;0.00"/>
    <numFmt numFmtId="165" formatCode="#,##0.00;\(#,##0.00\);0.00"/>
    <numFmt numFmtId="166" formatCode="###0;\(###0\);0.00"/>
  </numFmts>
  <fonts count="10">
    <font>
      <sz val="11"/>
      <color theme="1"/>
      <name val="Calibri"/>
      <family val="2"/>
      <scheme val="minor"/>
    </font>
    <font>
      <sz val="8"/>
      <color rgb="FF000000"/>
      <name val="Arial"/>
      <family val="2"/>
    </font>
    <font>
      <b/>
      <sz val="8"/>
      <color rgb="FF000000"/>
      <name val="Arial"/>
      <family val="2"/>
    </font>
    <font>
      <sz val="14"/>
      <color rgb="FFFF0000"/>
      <name val="Accountant"/>
      <charset val="2"/>
    </font>
    <font>
      <b/>
      <sz val="11"/>
      <color rgb="FF000000"/>
      <name val="Arial"/>
      <family val="2"/>
    </font>
    <font>
      <b/>
      <sz val="11"/>
      <color rgb="FF800080"/>
      <name val="Arial"/>
      <family val="2"/>
    </font>
    <font>
      <b/>
      <sz val="9"/>
      <color rgb="FF000000"/>
      <name val="Arial"/>
      <family val="2"/>
    </font>
    <font>
      <sz val="11"/>
      <color theme="1"/>
      <name val="Arial"/>
      <family val="2"/>
    </font>
    <font>
      <sz val="11"/>
      <color rgb="FFFF0000"/>
      <name val="Arial"/>
      <family val="2"/>
    </font>
    <font>
      <sz val="8"/>
      <color rgb="FFFF0000"/>
      <name val="Arial"/>
      <family val="2"/>
    </font>
  </fonts>
  <fills count="2">
    <fill>
      <patternFill patternType="none"/>
    </fill>
    <fill>
      <patternFill patternType="gray125"/>
    </fill>
  </fills>
  <borders count="4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</borders>
  <cellStyleXfs count="9">
    <xf numFmtId="0" fontId="0" fillId="0" borderId="0"/>
    <xf numFmtId="0" fontId="1" fillId="0" borderId="0"/>
    <xf numFmtId="0" fontId="1" fillId="0" borderId="0"/>
    <xf numFmtId="0" fontId="2" fillId="0" borderId="0"/>
    <xf numFmtId="0" fontId="4" fillId="0" borderId="0"/>
    <xf numFmtId="0" fontId="5" fillId="0" borderId="0"/>
    <xf numFmtId="0" fontId="6" fillId="0" borderId="0"/>
    <xf numFmtId="0" fontId="6" fillId="0" borderId="0"/>
    <xf numFmtId="0" fontId="1" fillId="0" borderId="0"/>
  </cellStyleXfs>
  <cellXfs count="45">
    <xf numFmtId="0" fontId="0" fillId="0" borderId="0" xfId="0"/>
    <xf numFmtId="164" fontId="2" fillId="0" borderId="0" xfId="3" applyNumberFormat="1" applyAlignment="1">
      <alignment horizontal="right"/>
    </xf>
    <xf numFmtId="0" fontId="3" fillId="0" borderId="0" xfId="0" applyFont="1"/>
    <xf numFmtId="49" fontId="4" fillId="0" borderId="0" xfId="4" applyNumberFormat="1" applyAlignment="1">
      <alignment horizontal="left"/>
    </xf>
    <xf numFmtId="49" fontId="5" fillId="0" borderId="0" xfId="5" applyNumberFormat="1" applyAlignment="1">
      <alignment horizontal="right"/>
    </xf>
    <xf numFmtId="49" fontId="6" fillId="0" borderId="0" xfId="6" applyNumberFormat="1" applyAlignment="1">
      <alignment horizontal="left"/>
    </xf>
    <xf numFmtId="0" fontId="0" fillId="0" borderId="1" xfId="0" applyBorder="1"/>
    <xf numFmtId="49" fontId="6" fillId="0" borderId="0" xfId="7" applyNumberFormat="1" applyFont="1" applyAlignment="1">
      <alignment horizontal="left"/>
    </xf>
    <xf numFmtId="49" fontId="6" fillId="0" borderId="0" xfId="7" applyNumberFormat="1" applyFont="1" applyAlignment="1">
      <alignment horizontal="center"/>
    </xf>
    <xf numFmtId="49" fontId="6" fillId="0" borderId="0" xfId="7" applyNumberFormat="1" applyFont="1" applyAlignment="1">
      <alignment horizontal="right"/>
    </xf>
    <xf numFmtId="0" fontId="7" fillId="0" borderId="1" xfId="0" applyFont="1" applyBorder="1"/>
    <xf numFmtId="49" fontId="1" fillId="0" borderId="0" xfId="1" applyNumberFormat="1" applyFont="1" applyAlignment="1">
      <alignment horizontal="left"/>
    </xf>
    <xf numFmtId="164" fontId="1" fillId="0" borderId="0" xfId="1" applyNumberFormat="1" applyFont="1" applyAlignment="1">
      <alignment horizontal="right"/>
    </xf>
    <xf numFmtId="165" fontId="1" fillId="0" borderId="0" xfId="2" applyNumberFormat="1" applyFont="1" applyAlignment="1">
      <alignment horizontal="right"/>
    </xf>
    <xf numFmtId="2" fontId="1" fillId="0" borderId="0" xfId="2" applyNumberFormat="1" applyFont="1" applyAlignment="1">
      <alignment horizontal="right"/>
    </xf>
    <xf numFmtId="2" fontId="2" fillId="0" borderId="0" xfId="3" applyNumberFormat="1" applyFont="1" applyAlignment="1">
      <alignment horizontal="right"/>
    </xf>
    <xf numFmtId="0" fontId="7" fillId="0" borderId="0" xfId="0" applyFont="1"/>
    <xf numFmtId="164" fontId="1" fillId="0" borderId="0" xfId="8" applyNumberFormat="1" applyFont="1" applyAlignment="1">
      <alignment horizontal="right"/>
    </xf>
    <xf numFmtId="165" fontId="2" fillId="0" borderId="0" xfId="3" applyNumberFormat="1" applyFont="1" applyAlignment="1">
      <alignment horizontal="right"/>
    </xf>
    <xf numFmtId="166" fontId="2" fillId="0" borderId="0" xfId="3" applyNumberFormat="1" applyFont="1" applyAlignment="1">
      <alignment horizontal="right"/>
    </xf>
    <xf numFmtId="165" fontId="1" fillId="0" borderId="0" xfId="1" applyNumberFormat="1" applyFont="1" applyAlignment="1">
      <alignment horizontal="right"/>
    </xf>
    <xf numFmtId="164" fontId="1" fillId="0" borderId="0" xfId="2" applyNumberFormat="1" applyFont="1" applyAlignment="1">
      <alignment horizontal="right"/>
    </xf>
    <xf numFmtId="165" fontId="1" fillId="0" borderId="0" xfId="8" applyNumberFormat="1" applyFont="1" applyAlignment="1">
      <alignment horizontal="right"/>
    </xf>
    <xf numFmtId="164" fontId="2" fillId="0" borderId="0" xfId="3" applyNumberFormat="1" applyFont="1" applyAlignment="1">
      <alignment horizontal="right"/>
    </xf>
    <xf numFmtId="165" fontId="1" fillId="0" borderId="2" xfId="1" applyNumberFormat="1" applyFont="1" applyBorder="1" applyAlignment="1">
      <alignment horizontal="right"/>
    </xf>
    <xf numFmtId="164" fontId="1" fillId="0" borderId="2" xfId="2" applyNumberFormat="1" applyFont="1" applyBorder="1" applyAlignment="1">
      <alignment horizontal="right"/>
    </xf>
    <xf numFmtId="2" fontId="1" fillId="0" borderId="2" xfId="2" applyNumberFormat="1" applyFont="1" applyBorder="1" applyAlignment="1">
      <alignment horizontal="right"/>
    </xf>
    <xf numFmtId="165" fontId="2" fillId="0" borderId="2" xfId="3" applyNumberFormat="1" applyFont="1" applyBorder="1" applyAlignment="1">
      <alignment horizontal="right"/>
    </xf>
    <xf numFmtId="165" fontId="1" fillId="0" borderId="2" xfId="8" applyNumberFormat="1" applyFont="1" applyBorder="1" applyAlignment="1">
      <alignment horizontal="right"/>
    </xf>
    <xf numFmtId="164" fontId="2" fillId="0" borderId="2" xfId="3" applyNumberFormat="1" applyFont="1" applyBorder="1" applyAlignment="1">
      <alignment horizontal="right"/>
    </xf>
    <xf numFmtId="166" fontId="2" fillId="0" borderId="2" xfId="3" applyNumberFormat="1" applyFont="1" applyBorder="1" applyAlignment="1">
      <alignment horizontal="right"/>
    </xf>
    <xf numFmtId="49" fontId="2" fillId="0" borderId="0" xfId="3" applyNumberFormat="1" applyFont="1" applyAlignment="1">
      <alignment horizontal="left"/>
    </xf>
    <xf numFmtId="0" fontId="8" fillId="0" borderId="0" xfId="0" applyFont="1" applyAlignment="1">
      <alignment horizontal="center"/>
    </xf>
    <xf numFmtId="2" fontId="2" fillId="0" borderId="2" xfId="3" applyNumberFormat="1" applyFont="1" applyBorder="1" applyAlignment="1">
      <alignment horizontal="right"/>
    </xf>
    <xf numFmtId="1" fontId="2" fillId="0" borderId="0" xfId="3" applyNumberFormat="1" applyFont="1" applyAlignment="1">
      <alignment horizontal="right"/>
    </xf>
    <xf numFmtId="1" fontId="8" fillId="0" borderId="2" xfId="1" applyNumberFormat="1" applyFont="1" applyBorder="1" applyAlignment="1">
      <alignment horizontal="center"/>
    </xf>
    <xf numFmtId="1" fontId="1" fillId="0" borderId="2" xfId="1" applyNumberFormat="1" applyFont="1" applyBorder="1" applyAlignment="1">
      <alignment horizontal="left"/>
    </xf>
    <xf numFmtId="165" fontId="2" fillId="0" borderId="3" xfId="3" applyNumberFormat="1" applyFont="1" applyBorder="1" applyAlignment="1">
      <alignment horizontal="right"/>
    </xf>
    <xf numFmtId="164" fontId="2" fillId="0" borderId="3" xfId="3" applyNumberFormat="1" applyFont="1" applyBorder="1" applyAlignment="1">
      <alignment horizontal="right"/>
    </xf>
    <xf numFmtId="2" fontId="2" fillId="0" borderId="3" xfId="3" applyNumberFormat="1" applyFont="1" applyBorder="1" applyAlignment="1">
      <alignment horizontal="right"/>
    </xf>
    <xf numFmtId="166" fontId="2" fillId="0" borderId="3" xfId="3" applyNumberFormat="1" applyFont="1" applyBorder="1" applyAlignment="1">
      <alignment horizontal="right"/>
    </xf>
    <xf numFmtId="0" fontId="8" fillId="0" borderId="1" xfId="0" applyFont="1" applyBorder="1" applyAlignment="1">
      <alignment horizontal="center"/>
    </xf>
    <xf numFmtId="0" fontId="9" fillId="0" borderId="0" xfId="0" applyFont="1" applyAlignment="1">
      <alignment horizontal="center"/>
    </xf>
    <xf numFmtId="1" fontId="9" fillId="0" borderId="2" xfId="1" applyNumberFormat="1" applyFont="1" applyBorder="1" applyAlignment="1">
      <alignment horizontal="center"/>
    </xf>
    <xf numFmtId="0" fontId="9" fillId="0" borderId="1" xfId="0" applyFont="1" applyBorder="1" applyAlignment="1">
      <alignment horizontal="center"/>
    </xf>
  </cellXfs>
  <cellStyles count="9">
    <cellStyle name="Normal" xfId="0" builtinId="0"/>
    <cellStyle name="rf1" xfId="4" xr:uid="{C9F4ADBA-373B-4915-BD31-24E974BA0E00}"/>
    <cellStyle name="rf17" xfId="5" xr:uid="{E8C8E4F6-89F6-4AE5-A4AF-D4DF850E4CBF}"/>
    <cellStyle name="rf2" xfId="6" xr:uid="{3BA48FF2-3794-471E-B5EC-6FA78DAD1C9C}"/>
    <cellStyle name="rf20" xfId="8" xr:uid="{908AB213-CB98-4294-BFED-B9CE60C55CA1}"/>
    <cellStyle name="rf3" xfId="7" xr:uid="{A887BF9D-E89B-486D-8E49-F9C5D0F131CC}"/>
    <cellStyle name="rf5" xfId="1" xr:uid="{10A4481E-A01A-46EE-923E-7231986C0301}"/>
    <cellStyle name="rf7" xfId="2" xr:uid="{99F2025E-53B8-4E14-B632-2C4B4FF67FB4}"/>
    <cellStyle name="rf8" xfId="3" xr:uid="{EE3C8543-2C9C-40FA-8427-085B1F07F3C9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theme" Target="theme/theme1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17/10/relationships/person" Target="persons/perso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persons/person.xml><?xml version="1.0" encoding="utf-8"?>
<personList xmlns="http://schemas.microsoft.com/office/spreadsheetml/2018/threadedcomments" xmlns:x="http://schemas.openxmlformats.org/spreadsheetml/2006/main"/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B7BA976-7A50-4930-9C0A-ED36589871EA}">
  <sheetPr codeName="Sheet1"/>
  <dimension ref="A1:K20"/>
  <sheetViews>
    <sheetView workbookViewId="0">
      <selection activeCell="B19" sqref="B19"/>
    </sheetView>
  </sheetViews>
  <sheetFormatPr defaultRowHeight="14.4"/>
  <cols>
    <col min="1" max="1" width="25.77734375" customWidth="1"/>
    <col min="2" max="2" width="6.33203125" bestFit="1" customWidth="1"/>
    <col min="8" max="8" width="12.88671875" customWidth="1"/>
  </cols>
  <sheetData>
    <row r="1" spans="1:11">
      <c r="A1" s="3" t="s">
        <v>0</v>
      </c>
      <c r="I1" s="4" t="s">
        <v>1</v>
      </c>
    </row>
    <row r="2" spans="1:11">
      <c r="A2" s="5" t="s">
        <v>2</v>
      </c>
    </row>
    <row r="3" spans="1:11">
      <c r="A3" s="5" t="s">
        <v>3</v>
      </c>
    </row>
    <row r="4" spans="1:11" ht="15" thickBot="1">
      <c r="A4" s="6"/>
      <c r="B4" s="6"/>
      <c r="C4" s="6"/>
      <c r="D4" s="6"/>
      <c r="E4" s="6"/>
      <c r="F4" s="6"/>
      <c r="G4" s="6"/>
      <c r="H4" s="6"/>
      <c r="I4" s="6"/>
    </row>
    <row r="5" spans="1:11" ht="17.399999999999999">
      <c r="A5" s="7" t="s">
        <v>4</v>
      </c>
      <c r="B5" s="8" t="s">
        <v>5</v>
      </c>
      <c r="C5" s="8" t="s">
        <v>6</v>
      </c>
      <c r="D5" s="8" t="s">
        <v>7</v>
      </c>
      <c r="E5" s="9" t="s">
        <v>8</v>
      </c>
      <c r="F5" s="8" t="s">
        <v>9</v>
      </c>
      <c r="G5" s="8" t="s">
        <v>10</v>
      </c>
      <c r="H5" s="8" t="s">
        <v>11</v>
      </c>
      <c r="I5" s="8" t="s">
        <v>12</v>
      </c>
      <c r="J5" s="1"/>
      <c r="K5" s="2"/>
    </row>
    <row r="6" spans="1:11" ht="15" thickBot="1">
      <c r="A6" s="10"/>
      <c r="B6" s="10"/>
      <c r="C6" s="10"/>
      <c r="D6" s="10"/>
      <c r="E6" s="10"/>
      <c r="F6" s="10"/>
      <c r="G6" s="10"/>
      <c r="H6" s="10"/>
      <c r="I6" s="10"/>
    </row>
    <row r="7" spans="1:11">
      <c r="A7" s="11" t="s">
        <v>13</v>
      </c>
      <c r="B7" s="12">
        <v>100</v>
      </c>
      <c r="C7" s="13">
        <v>-100</v>
      </c>
      <c r="D7" s="14">
        <v>0</v>
      </c>
      <c r="E7" s="15">
        <v>0</v>
      </c>
      <c r="F7" s="16"/>
      <c r="G7" s="17">
        <v>70</v>
      </c>
      <c r="H7" s="18">
        <v>-70</v>
      </c>
      <c r="I7" s="19">
        <v>-100</v>
      </c>
    </row>
    <row r="8" spans="1:11">
      <c r="A8" s="11" t="s">
        <v>14</v>
      </c>
      <c r="B8" s="20">
        <v>200</v>
      </c>
      <c r="C8" s="21">
        <v>400</v>
      </c>
      <c r="D8" s="14">
        <v>0</v>
      </c>
      <c r="E8" s="18">
        <v>600</v>
      </c>
      <c r="F8" s="16"/>
      <c r="G8" s="22">
        <v>80</v>
      </c>
      <c r="H8" s="23">
        <v>520</v>
      </c>
      <c r="I8" s="19">
        <v>-47</v>
      </c>
    </row>
    <row r="9" spans="1:11">
      <c r="A9" s="11" t="s">
        <v>15</v>
      </c>
      <c r="B9" s="24">
        <v>300</v>
      </c>
      <c r="C9" s="25">
        <v>500</v>
      </c>
      <c r="D9" s="26">
        <v>0</v>
      </c>
      <c r="E9" s="27">
        <v>800</v>
      </c>
      <c r="F9" s="16"/>
      <c r="G9" s="28">
        <v>90</v>
      </c>
      <c r="H9" s="29">
        <v>710</v>
      </c>
      <c r="I9" s="30">
        <v>-6</v>
      </c>
    </row>
    <row r="10" spans="1:11">
      <c r="A10" s="31" t="s">
        <v>16</v>
      </c>
      <c r="B10" s="18">
        <v>600</v>
      </c>
      <c r="C10" s="23">
        <v>800</v>
      </c>
      <c r="D10" s="15">
        <v>0</v>
      </c>
      <c r="E10" s="18">
        <v>1400</v>
      </c>
      <c r="F10" s="16"/>
      <c r="G10" s="18">
        <v>240</v>
      </c>
      <c r="H10" s="23">
        <v>1160</v>
      </c>
      <c r="I10" s="19">
        <v>-29</v>
      </c>
    </row>
    <row r="11" spans="1:11">
      <c r="A11" s="16"/>
      <c r="B11" s="32"/>
      <c r="C11" s="32"/>
      <c r="D11" s="32"/>
      <c r="E11" s="32"/>
      <c r="F11" s="16"/>
      <c r="G11" s="32"/>
      <c r="H11" s="32"/>
      <c r="I11" s="16"/>
    </row>
    <row r="12" spans="1:11">
      <c r="A12" s="11" t="s">
        <v>17</v>
      </c>
      <c r="B12" s="24">
        <v>100</v>
      </c>
      <c r="C12" s="25">
        <v>13900</v>
      </c>
      <c r="D12" s="26">
        <v>0</v>
      </c>
      <c r="E12" s="33">
        <v>14000</v>
      </c>
      <c r="F12" s="16"/>
      <c r="G12" s="28">
        <v>500</v>
      </c>
      <c r="H12" s="29">
        <v>13500</v>
      </c>
      <c r="I12" s="30">
        <v>-100</v>
      </c>
    </row>
    <row r="13" spans="1:11">
      <c r="A13" s="31" t="s">
        <v>18</v>
      </c>
      <c r="B13" s="18">
        <v>100</v>
      </c>
      <c r="C13" s="23">
        <v>13900</v>
      </c>
      <c r="D13" s="15">
        <v>0</v>
      </c>
      <c r="E13" s="15">
        <v>14000</v>
      </c>
      <c r="F13" s="16"/>
      <c r="G13" s="18">
        <v>500</v>
      </c>
      <c r="H13" s="23">
        <v>13500</v>
      </c>
      <c r="I13" s="19">
        <v>-100</v>
      </c>
    </row>
    <row r="14" spans="1:11">
      <c r="A14" s="16"/>
      <c r="B14" s="32"/>
      <c r="C14" s="32"/>
      <c r="D14" s="32"/>
      <c r="E14" s="32"/>
      <c r="F14" s="16"/>
      <c r="G14" s="32"/>
      <c r="H14" s="32"/>
      <c r="I14" s="16"/>
    </row>
    <row r="15" spans="1:11">
      <c r="A15" s="11" t="s">
        <v>19</v>
      </c>
      <c r="B15" s="12">
        <v>200</v>
      </c>
      <c r="C15" s="13">
        <v>500</v>
      </c>
      <c r="D15" s="14">
        <v>0</v>
      </c>
      <c r="E15" s="23">
        <v>700</v>
      </c>
      <c r="F15" s="16"/>
      <c r="G15" s="17">
        <v>10</v>
      </c>
      <c r="H15" s="18">
        <v>690</v>
      </c>
      <c r="I15" s="19">
        <v>-6</v>
      </c>
    </row>
    <row r="16" spans="1:11">
      <c r="A16" s="11" t="s">
        <v>20</v>
      </c>
      <c r="B16" s="24">
        <v>300</v>
      </c>
      <c r="C16" s="25">
        <v>600</v>
      </c>
      <c r="D16" s="26">
        <v>0</v>
      </c>
      <c r="E16" s="27">
        <v>900</v>
      </c>
      <c r="F16" s="16"/>
      <c r="G16" s="28">
        <v>1000</v>
      </c>
      <c r="H16" s="29">
        <v>-100</v>
      </c>
      <c r="I16" s="30">
        <v>-6</v>
      </c>
    </row>
    <row r="17" spans="1:9">
      <c r="A17" s="31" t="s">
        <v>21</v>
      </c>
      <c r="B17" s="15">
        <v>500</v>
      </c>
      <c r="C17" s="15">
        <v>1100</v>
      </c>
      <c r="D17" s="15">
        <v>0</v>
      </c>
      <c r="E17" s="15">
        <v>1600</v>
      </c>
      <c r="F17" s="16"/>
      <c r="G17" s="15">
        <v>1010</v>
      </c>
      <c r="H17" s="15">
        <v>590</v>
      </c>
      <c r="I17" s="34">
        <v>0</v>
      </c>
    </row>
    <row r="18" spans="1:9">
      <c r="A18" s="16"/>
      <c r="B18" s="35"/>
      <c r="C18" s="35"/>
      <c r="D18" s="35"/>
      <c r="E18" s="35"/>
      <c r="F18" s="16"/>
      <c r="G18" s="35"/>
      <c r="H18" s="35"/>
      <c r="I18" s="36"/>
    </row>
    <row r="19" spans="1:9" ht="15" thickBot="1">
      <c r="A19" s="16"/>
      <c r="B19" s="37">
        <v>1200</v>
      </c>
      <c r="C19" s="38">
        <v>15800</v>
      </c>
      <c r="D19" s="39">
        <v>0</v>
      </c>
      <c r="E19" s="37">
        <v>17000</v>
      </c>
      <c r="F19" s="16"/>
      <c r="G19" s="37">
        <v>1750</v>
      </c>
      <c r="H19" s="38">
        <v>15250</v>
      </c>
      <c r="I19" s="40">
        <v>-30</v>
      </c>
    </row>
    <row r="20" spans="1:9" ht="15.6" thickTop="1" thickBot="1">
      <c r="A20" s="10"/>
      <c r="B20" s="41"/>
      <c r="C20" s="41"/>
      <c r="D20" s="41"/>
      <c r="E20" s="41"/>
      <c r="F20" s="10"/>
      <c r="G20" s="41"/>
      <c r="H20" s="41"/>
      <c r="I20" s="10"/>
    </row>
  </sheetData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E28439-A062-43C9-A7C6-9BDACA076450}">
  <sheetPr codeName="Sheet2"/>
  <dimension ref="A1:K20"/>
  <sheetViews>
    <sheetView tabSelected="1" topLeftCell="A2" workbookViewId="0">
      <selection activeCell="H20" sqref="H20"/>
    </sheetView>
  </sheetViews>
  <sheetFormatPr defaultRowHeight="14.4" outlineLevelRow="1"/>
  <cols>
    <col min="1" max="1" width="25.77734375" customWidth="1"/>
    <col min="2" max="2" width="6.33203125" bestFit="1" customWidth="1"/>
    <col min="8" max="8" width="12.88671875" customWidth="1"/>
  </cols>
  <sheetData>
    <row r="1" spans="1:11">
      <c r="A1" s="3" t="s">
        <v>0</v>
      </c>
      <c r="I1" s="4" t="s">
        <v>1</v>
      </c>
    </row>
    <row r="2" spans="1:11">
      <c r="A2" s="5" t="s">
        <v>2</v>
      </c>
    </row>
    <row r="3" spans="1:11">
      <c r="A3" s="5" t="s">
        <v>3</v>
      </c>
    </row>
    <row r="4" spans="1:11" ht="15" thickBot="1">
      <c r="A4" s="6"/>
      <c r="B4" s="6"/>
      <c r="C4" s="6"/>
      <c r="D4" s="6"/>
      <c r="E4" s="6"/>
      <c r="F4" s="6"/>
      <c r="G4" s="6"/>
      <c r="H4" s="6"/>
      <c r="I4" s="6"/>
    </row>
    <row r="5" spans="1:11" ht="17.399999999999999">
      <c r="A5" s="7" t="s">
        <v>4</v>
      </c>
      <c r="B5" s="8" t="s">
        <v>5</v>
      </c>
      <c r="C5" s="8" t="s">
        <v>6</v>
      </c>
      <c r="D5" s="8" t="s">
        <v>7</v>
      </c>
      <c r="E5" s="9" t="s">
        <v>8</v>
      </c>
      <c r="F5" s="8" t="s">
        <v>9</v>
      </c>
      <c r="G5" s="8" t="s">
        <v>10</v>
      </c>
      <c r="H5" s="8" t="s">
        <v>11</v>
      </c>
      <c r="I5" s="8" t="s">
        <v>12</v>
      </c>
      <c r="J5" s="1"/>
      <c r="K5" s="2"/>
    </row>
    <row r="6" spans="1:11" ht="15" thickBot="1">
      <c r="A6" s="10"/>
      <c r="B6" s="10"/>
      <c r="C6" s="10"/>
      <c r="D6" s="10"/>
      <c r="E6" s="10"/>
      <c r="F6" s="10"/>
      <c r="G6" s="10"/>
      <c r="H6" s="10"/>
      <c r="I6" s="10"/>
    </row>
    <row r="7" spans="1:11" outlineLevel="1">
      <c r="A7" s="11" t="s">
        <v>13</v>
      </c>
      <c r="B7" s="12">
        <v>100</v>
      </c>
      <c r="C7" s="13">
        <v>-100</v>
      </c>
      <c r="D7" s="14">
        <v>0</v>
      </c>
      <c r="E7" s="15">
        <f>SUM(B7:D7)</f>
        <v>0</v>
      </c>
      <c r="F7" s="16"/>
      <c r="G7" s="17">
        <v>70</v>
      </c>
      <c r="H7" s="18">
        <f>E7-G7</f>
        <v>-70</v>
      </c>
      <c r="I7" s="19">
        <v>-100</v>
      </c>
    </row>
    <row r="8" spans="1:11" outlineLevel="1">
      <c r="A8" s="11" t="s">
        <v>14</v>
      </c>
      <c r="B8" s="20">
        <v>200</v>
      </c>
      <c r="C8" s="21">
        <v>400</v>
      </c>
      <c r="D8" s="14">
        <v>0</v>
      </c>
      <c r="E8" s="18">
        <f>SUM(B8:D8)</f>
        <v>600</v>
      </c>
      <c r="F8" s="16"/>
      <c r="G8" s="22">
        <v>80</v>
      </c>
      <c r="H8" s="23">
        <f>E8-G8</f>
        <v>520</v>
      </c>
      <c r="I8" s="19">
        <v>-47</v>
      </c>
    </row>
    <row r="9" spans="1:11" outlineLevel="1">
      <c r="A9" s="11" t="s">
        <v>15</v>
      </c>
      <c r="B9" s="24">
        <v>300</v>
      </c>
      <c r="C9" s="25">
        <v>500</v>
      </c>
      <c r="D9" s="26">
        <v>0</v>
      </c>
      <c r="E9" s="27">
        <f>SUM(B9:D9)</f>
        <v>800</v>
      </c>
      <c r="F9" s="16"/>
      <c r="G9" s="28">
        <v>90</v>
      </c>
      <c r="H9" s="29">
        <f>E9-G9</f>
        <v>710</v>
      </c>
      <c r="I9" s="30">
        <v>-6</v>
      </c>
    </row>
    <row r="10" spans="1:11">
      <c r="A10" s="31" t="s">
        <v>16</v>
      </c>
      <c r="B10" s="18">
        <f>SUM(B7:B9)</f>
        <v>600</v>
      </c>
      <c r="C10" s="23">
        <f>SUM(C7:C9)</f>
        <v>800</v>
      </c>
      <c r="D10" s="15">
        <f>SUM(D7:D9)</f>
        <v>0</v>
      </c>
      <c r="E10" s="18">
        <f>SUM(E7:E9)</f>
        <v>1400</v>
      </c>
      <c r="F10" s="16"/>
      <c r="G10" s="18">
        <f>SUM(G7:G9)</f>
        <v>240</v>
      </c>
      <c r="H10" s="23">
        <f>SUM(H7:H9)</f>
        <v>1160</v>
      </c>
      <c r="I10" s="19">
        <v>-29</v>
      </c>
    </row>
    <row r="11" spans="1:11">
      <c r="A11" s="16"/>
      <c r="B11" s="42" t="s">
        <v>22</v>
      </c>
      <c r="C11" s="42" t="s">
        <v>22</v>
      </c>
      <c r="D11" s="42" t="s">
        <v>22</v>
      </c>
      <c r="E11" s="42" t="s">
        <v>22</v>
      </c>
      <c r="F11" s="16"/>
      <c r="G11" s="42" t="s">
        <v>22</v>
      </c>
      <c r="H11" s="42" t="s">
        <v>22</v>
      </c>
      <c r="I11" s="16"/>
    </row>
    <row r="12" spans="1:11" outlineLevel="1">
      <c r="A12" s="11" t="s">
        <v>17</v>
      </c>
      <c r="B12" s="24">
        <v>100</v>
      </c>
      <c r="C12" s="25">
        <v>13900</v>
      </c>
      <c r="D12" s="26">
        <v>0</v>
      </c>
      <c r="E12" s="33">
        <f>SUM(B12:D12)</f>
        <v>14000</v>
      </c>
      <c r="F12" s="16"/>
      <c r="G12" s="28">
        <v>500</v>
      </c>
      <c r="H12" s="29">
        <f>E12-G12</f>
        <v>13500</v>
      </c>
      <c r="I12" s="30">
        <v>-100</v>
      </c>
    </row>
    <row r="13" spans="1:11">
      <c r="A13" s="31" t="s">
        <v>18</v>
      </c>
      <c r="B13" s="18">
        <f>SUM(B12:B12)</f>
        <v>100</v>
      </c>
      <c r="C13" s="23">
        <f>SUM(C12:C12)</f>
        <v>13900</v>
      </c>
      <c r="D13" s="15">
        <f>SUM(D12:D12)</f>
        <v>0</v>
      </c>
      <c r="E13" s="15">
        <f>SUM(E12:E12)</f>
        <v>14000</v>
      </c>
      <c r="F13" s="16"/>
      <c r="G13" s="18">
        <f>SUM(G12:G12)</f>
        <v>500</v>
      </c>
      <c r="H13" s="23">
        <f>SUM(H12:H12)</f>
        <v>13500</v>
      </c>
      <c r="I13" s="19">
        <v>-100</v>
      </c>
    </row>
    <row r="14" spans="1:11">
      <c r="A14" s="16"/>
      <c r="B14" s="42" t="s">
        <v>22</v>
      </c>
      <c r="C14" s="42" t="s">
        <v>22</v>
      </c>
      <c r="D14" s="42" t="s">
        <v>22</v>
      </c>
      <c r="E14" s="42" t="s">
        <v>22</v>
      </c>
      <c r="F14" s="16"/>
      <c r="G14" s="42" t="s">
        <v>22</v>
      </c>
      <c r="H14" s="42" t="s">
        <v>22</v>
      </c>
      <c r="I14" s="16"/>
    </row>
    <row r="15" spans="1:11" outlineLevel="1">
      <c r="A15" s="11" t="s">
        <v>19</v>
      </c>
      <c r="B15" s="12">
        <v>200</v>
      </c>
      <c r="C15" s="13">
        <v>500</v>
      </c>
      <c r="D15" s="14">
        <v>0</v>
      </c>
      <c r="E15" s="23">
        <f>SUM(B15:D15)</f>
        <v>700</v>
      </c>
      <c r="F15" s="16"/>
      <c r="G15" s="17">
        <v>10</v>
      </c>
      <c r="H15" s="18">
        <f>E15-G15</f>
        <v>690</v>
      </c>
      <c r="I15" s="19">
        <v>-6</v>
      </c>
    </row>
    <row r="16" spans="1:11" outlineLevel="1">
      <c r="A16" s="11" t="s">
        <v>20</v>
      </c>
      <c r="B16" s="24">
        <v>300</v>
      </c>
      <c r="C16" s="25">
        <v>600</v>
      </c>
      <c r="D16" s="26">
        <v>0</v>
      </c>
      <c r="E16" s="27">
        <f>SUM(B16:D16)</f>
        <v>900</v>
      </c>
      <c r="F16" s="16"/>
      <c r="G16" s="28">
        <v>1000</v>
      </c>
      <c r="H16" s="29">
        <f>E16-G16</f>
        <v>-100</v>
      </c>
      <c r="I16" s="30">
        <v>-6</v>
      </c>
    </row>
    <row r="17" spans="1:9">
      <c r="A17" s="31" t="s">
        <v>21</v>
      </c>
      <c r="B17" s="15">
        <f>SUM(B15:B16)</f>
        <v>500</v>
      </c>
      <c r="C17" s="15">
        <f>SUM(C15:C16)</f>
        <v>1100</v>
      </c>
      <c r="D17" s="15">
        <f>SUM(D15:D16)</f>
        <v>0</v>
      </c>
      <c r="E17" s="15">
        <f>SUM(E15:E16)</f>
        <v>1600</v>
      </c>
      <c r="F17" s="16"/>
      <c r="G17" s="15">
        <f>SUM(G15:G16)</f>
        <v>1010</v>
      </c>
      <c r="H17" s="15">
        <f>SUM(H15:H16)</f>
        <v>590</v>
      </c>
      <c r="I17" s="34">
        <v>0</v>
      </c>
    </row>
    <row r="18" spans="1:9">
      <c r="A18" s="16"/>
      <c r="B18" s="43" t="s">
        <v>22</v>
      </c>
      <c r="C18" s="43" t="s">
        <v>22</v>
      </c>
      <c r="D18" s="43" t="s">
        <v>22</v>
      </c>
      <c r="E18" s="43" t="s">
        <v>22</v>
      </c>
      <c r="F18" s="16"/>
      <c r="G18" s="43" t="s">
        <v>22</v>
      </c>
      <c r="H18" s="43" t="s">
        <v>22</v>
      </c>
      <c r="I18" s="36"/>
    </row>
    <row r="19" spans="1:9" ht="15" thickBot="1">
      <c r="A19" s="16"/>
      <c r="B19" s="37">
        <f>$B$10+$B$13+$B$17</f>
        <v>1200</v>
      </c>
      <c r="C19" s="38">
        <f>$C$10+$C$13+$C$17</f>
        <v>15800</v>
      </c>
      <c r="D19" s="39">
        <f>$D$10+$D$13+$D$17</f>
        <v>0</v>
      </c>
      <c r="E19" s="37">
        <f>$E$10+$E$13+$E$17</f>
        <v>17000</v>
      </c>
      <c r="F19" s="16"/>
      <c r="G19" s="37">
        <f>$G$10+$G$13+$G$17</f>
        <v>1750</v>
      </c>
      <c r="H19" s="38">
        <f>$H$10+$H$13+$H$17</f>
        <v>15250</v>
      </c>
      <c r="I19" s="40">
        <v>-30</v>
      </c>
    </row>
    <row r="20" spans="1:9" ht="15.6" thickTop="1" thickBot="1">
      <c r="A20" s="10"/>
      <c r="B20" s="44" t="s">
        <v>22</v>
      </c>
      <c r="C20" s="44" t="s">
        <v>22</v>
      </c>
      <c r="D20" s="44" t="s">
        <v>22</v>
      </c>
      <c r="E20" s="44" t="s">
        <v>22</v>
      </c>
      <c r="F20" s="10"/>
      <c r="G20" s="44" t="s">
        <v>22</v>
      </c>
      <c r="H20" s="44" t="s">
        <v>22</v>
      </c>
      <c r="I20" s="10"/>
    </row>
  </sheetData>
  <pageMargins left="0.7" right="0.7" top="0.75" bottom="0.75" header="0.3" footer="0.3"/>
  <pageSetup orientation="portrait" r:id="rId1"/>
</worksheet>
</file>

<file path=customUI/customUI14.xml><?xml version="1.0" encoding="utf-8"?>
<customUI xmlns="http://schemas.microsoft.com/office/2009/07/customui">
  <ribbon>
    <tabs>
      <tab id="customTab" label="Useful VBAs" insertAfterMso="Help">
        <group id="customGroup" label="Useful VBAs">
          <button id="Leadsheet" label="Leadsheet" size="large" onAction="superlead" imageMso="AutoFormatDialog"/>
          <button id="Grouping" label="Grouping" size="large" onAction="grouping" imageMso="Bullets"/>
        </group>
      </tab>
    </tabs>
  </ribbon>
</customUI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Before Macro</vt:lpstr>
      <vt:lpstr>After Macro</vt:lpstr>
    </vt:vector>
  </TitlesOfParts>
  <Company>Grant Thornton LLP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Shetty, Tejas</dc:creator>
  <cp:lastModifiedBy>Tejas V. Shetty</cp:lastModifiedBy>
  <dcterms:created xsi:type="dcterms:W3CDTF">2022-10-26T01:19:36Z</dcterms:created>
  <dcterms:modified xsi:type="dcterms:W3CDTF">2024-03-17T23:17:57Z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27c0209-0049-4fa3-802d-b18399cd3e3b_Enabled">
    <vt:lpwstr>true</vt:lpwstr>
  </property>
  <property fmtid="{D5CDD505-2E9C-101B-9397-08002B2CF9AE}" pid="3" name="MSIP_Label_827c0209-0049-4fa3-802d-b18399cd3e3b_SetDate">
    <vt:lpwstr>2022-11-20T20:12:18Z</vt:lpwstr>
  </property>
  <property fmtid="{D5CDD505-2E9C-101B-9397-08002B2CF9AE}" pid="4" name="MSIP_Label_827c0209-0049-4fa3-802d-b18399cd3e3b_Method">
    <vt:lpwstr>Standard</vt:lpwstr>
  </property>
  <property fmtid="{D5CDD505-2E9C-101B-9397-08002B2CF9AE}" pid="5" name="MSIP_Label_827c0209-0049-4fa3-802d-b18399cd3e3b_Name">
    <vt:lpwstr>Public - test</vt:lpwstr>
  </property>
  <property fmtid="{D5CDD505-2E9C-101B-9397-08002B2CF9AE}" pid="6" name="MSIP_Label_827c0209-0049-4fa3-802d-b18399cd3e3b_SiteId">
    <vt:lpwstr>296ae229-6f10-4f4a-a0d6-f390ed73d8e3</vt:lpwstr>
  </property>
  <property fmtid="{D5CDD505-2E9C-101B-9397-08002B2CF9AE}" pid="7" name="MSIP_Label_827c0209-0049-4fa3-802d-b18399cd3e3b_ActionId">
    <vt:lpwstr>3696be09-f2fb-479a-915c-52f44c40851c</vt:lpwstr>
  </property>
  <property fmtid="{D5CDD505-2E9C-101B-9397-08002B2CF9AE}" pid="8" name="MSIP_Label_827c0209-0049-4fa3-802d-b18399cd3e3b_ContentBits">
    <vt:lpwstr>0</vt:lpwstr>
  </property>
</Properties>
</file>